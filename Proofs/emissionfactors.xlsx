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younes/Desktop/"/>
    </mc:Choice>
  </mc:AlternateContent>
  <xr:revisionPtr revIDLastSave="0" documentId="8_{FA0B755F-6C0D-9F4E-AC0A-0E79C87C5B4D}" xr6:coauthVersionLast="47" xr6:coauthVersionMax="47" xr10:uidLastSave="{00000000-0000-0000-0000-000000000000}"/>
  <bookViews>
    <workbookView xWindow="0" yWindow="660" windowWidth="29400" windowHeight="18460" xr2:uid="{AFAFBAB9-1D99-B341-BBD8-4FAED6A067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1" l="1"/>
  <c r="H58" i="1"/>
  <c r="E58" i="1"/>
  <c r="I57" i="1"/>
  <c r="H57" i="1"/>
  <c r="E57" i="1"/>
  <c r="I56" i="1"/>
  <c r="H56" i="1"/>
  <c r="E56" i="1"/>
  <c r="I55" i="1"/>
  <c r="H55" i="1"/>
  <c r="E55" i="1"/>
  <c r="I54" i="1"/>
  <c r="H54" i="1"/>
  <c r="E54" i="1"/>
  <c r="I53" i="1"/>
  <c r="H53" i="1"/>
  <c r="E53" i="1"/>
  <c r="I52" i="1"/>
  <c r="H52" i="1"/>
  <c r="E52" i="1"/>
  <c r="I51" i="1"/>
  <c r="H51" i="1"/>
  <c r="E51" i="1"/>
  <c r="I50" i="1"/>
  <c r="H50" i="1"/>
  <c r="E50" i="1"/>
  <c r="I49" i="1"/>
  <c r="H49" i="1"/>
  <c r="E49" i="1"/>
  <c r="I48" i="1"/>
  <c r="H48" i="1"/>
  <c r="E48" i="1"/>
  <c r="I47" i="1"/>
  <c r="H47" i="1"/>
  <c r="E47" i="1"/>
  <c r="I46" i="1"/>
  <c r="H46" i="1"/>
  <c r="E46" i="1"/>
  <c r="I45" i="1"/>
  <c r="H45" i="1"/>
  <c r="I44" i="1"/>
  <c r="H44" i="1"/>
  <c r="E44" i="1"/>
  <c r="H43" i="1"/>
  <c r="E43" i="1"/>
  <c r="I43" i="1" s="1"/>
  <c r="I42" i="1"/>
  <c r="H42" i="1"/>
  <c r="E42" i="1"/>
  <c r="I41" i="1"/>
  <c r="H41" i="1"/>
  <c r="E41" i="1"/>
  <c r="I40" i="1"/>
  <c r="H40" i="1"/>
  <c r="E40" i="1"/>
  <c r="I39" i="1"/>
  <c r="H39" i="1"/>
  <c r="E39" i="1"/>
  <c r="I38" i="1"/>
  <c r="H38" i="1"/>
  <c r="E38" i="1"/>
  <c r="I37" i="1"/>
  <c r="H37" i="1"/>
  <c r="E37" i="1"/>
  <c r="I36" i="1"/>
  <c r="H36" i="1"/>
  <c r="E36" i="1"/>
  <c r="I35" i="1"/>
  <c r="H35" i="1"/>
  <c r="E35" i="1"/>
  <c r="I34" i="1"/>
  <c r="H34" i="1"/>
  <c r="E34" i="1"/>
  <c r="I33" i="1"/>
  <c r="H33" i="1"/>
  <c r="E33" i="1"/>
  <c r="I32" i="1"/>
  <c r="H32" i="1"/>
  <c r="E32" i="1"/>
  <c r="I31" i="1"/>
  <c r="H31" i="1"/>
  <c r="E31" i="1"/>
  <c r="I30" i="1"/>
  <c r="H30" i="1"/>
  <c r="E30" i="1"/>
  <c r="I29" i="1"/>
  <c r="H29" i="1"/>
  <c r="E29" i="1"/>
  <c r="I28" i="1"/>
  <c r="H28" i="1"/>
  <c r="E28" i="1"/>
  <c r="I27" i="1"/>
  <c r="H27" i="1"/>
  <c r="E27" i="1"/>
  <c r="I26" i="1"/>
  <c r="H26" i="1"/>
  <c r="E26" i="1"/>
  <c r="I25" i="1"/>
  <c r="H25" i="1"/>
  <c r="E25" i="1"/>
  <c r="I24" i="1"/>
  <c r="H24" i="1"/>
  <c r="E24" i="1"/>
  <c r="I23" i="1"/>
  <c r="H23" i="1"/>
  <c r="E23" i="1"/>
  <c r="I22" i="1"/>
  <c r="H22" i="1"/>
  <c r="E22" i="1"/>
  <c r="I21" i="1"/>
  <c r="H21" i="1"/>
  <c r="E21" i="1"/>
  <c r="I20" i="1"/>
  <c r="E20" i="1"/>
  <c r="H20" i="1" s="1"/>
  <c r="I19" i="1"/>
  <c r="H19" i="1"/>
  <c r="E19" i="1"/>
  <c r="I18" i="1"/>
  <c r="H18" i="1"/>
  <c r="E18" i="1"/>
  <c r="I17" i="1"/>
  <c r="H17" i="1"/>
  <c r="E17" i="1"/>
  <c r="I16" i="1"/>
  <c r="E16" i="1"/>
  <c r="H16" i="1" s="1"/>
  <c r="I15" i="1"/>
  <c r="E15" i="1"/>
  <c r="H15" i="1" s="1"/>
  <c r="I14" i="1"/>
  <c r="E14" i="1"/>
  <c r="H14" i="1" s="1"/>
  <c r="I13" i="1"/>
  <c r="H13" i="1"/>
  <c r="E13" i="1"/>
  <c r="I12" i="1"/>
  <c r="E12" i="1"/>
  <c r="H12" i="1" s="1"/>
  <c r="I11" i="1"/>
  <c r="E11" i="1"/>
  <c r="H11" i="1" s="1"/>
  <c r="I10" i="1"/>
  <c r="E10" i="1"/>
  <c r="H10" i="1" s="1"/>
  <c r="I9" i="1"/>
  <c r="H9" i="1"/>
  <c r="E9" i="1"/>
  <c r="I8" i="1"/>
  <c r="E8" i="1"/>
  <c r="H8" i="1" s="1"/>
  <c r="I7" i="1"/>
  <c r="H7" i="1"/>
  <c r="E7" i="1"/>
  <c r="I6" i="1"/>
  <c r="H6" i="1"/>
  <c r="E6" i="1"/>
  <c r="I5" i="1"/>
  <c r="H5" i="1"/>
  <c r="E5" i="1"/>
</calcChain>
</file>

<file path=xl/sharedStrings.xml><?xml version="1.0" encoding="utf-8"?>
<sst xmlns="http://schemas.openxmlformats.org/spreadsheetml/2006/main" count="77" uniqueCount="76">
  <si>
    <r>
      <t>Table 1. 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Emission Factors by Fuel</t>
    </r>
  </si>
  <si>
    <t>Fuel</t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</si>
  <si>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emission factors for fuel consumption data that have been supplied on different measurement bases</t>
    </r>
  </si>
  <si>
    <t>Lower Heating Value (LHV) (or NCV)</t>
  </si>
  <si>
    <t>Energy basis</t>
  </si>
  <si>
    <t>Mass basis</t>
  </si>
  <si>
    <r>
      <t>Fuel density information</t>
    </r>
    <r>
      <rPr>
        <b/>
        <vertAlign val="superscript"/>
        <sz val="9"/>
        <rFont val="Arial"/>
        <family val="2"/>
      </rPr>
      <t>1</t>
    </r>
  </si>
  <si>
    <t>Liquid basis</t>
  </si>
  <si>
    <t>Gas basis</t>
  </si>
  <si>
    <t>TJ/Gg</t>
  </si>
  <si>
    <r>
      <t>kg 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/TJ</t>
    </r>
  </si>
  <si>
    <r>
      <t>kg 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/tonne</t>
    </r>
  </si>
  <si>
    <t>Of liquids (kg/litre fuel)</t>
  </si>
  <si>
    <r>
      <t>Of gases (kg/m</t>
    </r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 xml:space="preserve"> of fuel)</t>
    </r>
  </si>
  <si>
    <r>
      <t>kg 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/litre</t>
    </r>
  </si>
  <si>
    <r>
      <t>kg 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/m</t>
    </r>
    <r>
      <rPr>
        <b/>
        <vertAlign val="superscript"/>
        <sz val="9"/>
        <rFont val="Arial"/>
        <family val="2"/>
      </rPr>
      <t>3</t>
    </r>
  </si>
  <si>
    <t>Oil products</t>
  </si>
  <si>
    <t>Crude oil</t>
  </si>
  <si>
    <t>Orimulsion</t>
  </si>
  <si>
    <t>Natural Gas Liquids</t>
  </si>
  <si>
    <r>
      <t>Motor gasoline</t>
    </r>
    <r>
      <rPr>
        <vertAlign val="superscript"/>
        <sz val="9"/>
        <rFont val="Arial"/>
        <family val="2"/>
      </rPr>
      <t>2</t>
    </r>
  </si>
  <si>
    <t>Aviation gasoline</t>
  </si>
  <si>
    <t>Jet gasoline</t>
  </si>
  <si>
    <t>Jet kerosene</t>
  </si>
  <si>
    <t>Other kerosene</t>
  </si>
  <si>
    <t>Shale oil</t>
  </si>
  <si>
    <r>
      <t>Gas/Diesel oil</t>
    </r>
    <r>
      <rPr>
        <vertAlign val="superscript"/>
        <sz val="9"/>
        <rFont val="Arial"/>
        <family val="2"/>
      </rPr>
      <t>2</t>
    </r>
  </si>
  <si>
    <r>
      <t>Residual fuel oil</t>
    </r>
    <r>
      <rPr>
        <vertAlign val="superscript"/>
        <sz val="9"/>
        <rFont val="Arial"/>
        <family val="2"/>
      </rPr>
      <t>3</t>
    </r>
  </si>
  <si>
    <t>Liquified Petroleum Gases</t>
  </si>
  <si>
    <t>Ethane</t>
  </si>
  <si>
    <t>Naphtha</t>
  </si>
  <si>
    <t>Bitumen</t>
  </si>
  <si>
    <t>Lubricants</t>
  </si>
  <si>
    <t>Petroleum coke</t>
  </si>
  <si>
    <t>Refinery feedstocks</t>
  </si>
  <si>
    <t>Refinery gas</t>
  </si>
  <si>
    <t>Paraffin waxes</t>
  </si>
  <si>
    <t>White Spirit/SBP</t>
  </si>
  <si>
    <t>Other petroleum products</t>
  </si>
  <si>
    <t>Coal products</t>
  </si>
  <si>
    <t>Anthracite</t>
  </si>
  <si>
    <t>Coking coal</t>
  </si>
  <si>
    <t>Other bituminous coal</t>
  </si>
  <si>
    <t>Sub bituminous coal</t>
  </si>
  <si>
    <t>Lignite</t>
  </si>
  <si>
    <t>Oil shale and tar sands</t>
  </si>
  <si>
    <t>Brown coal briquettes</t>
  </si>
  <si>
    <t>Patent fuel</t>
  </si>
  <si>
    <t>Coke oven coke</t>
  </si>
  <si>
    <t>Lignite coke</t>
  </si>
  <si>
    <t>Gas coke</t>
  </si>
  <si>
    <t>Coal tar</t>
  </si>
  <si>
    <t>Gas works gas</t>
  </si>
  <si>
    <t>Coke oven gas</t>
  </si>
  <si>
    <t>Blast furnace gas</t>
  </si>
  <si>
    <t>Oxygen steel furnace gas</t>
  </si>
  <si>
    <t>Natural gas</t>
  </si>
  <si>
    <r>
      <t>Natural gas</t>
    </r>
    <r>
      <rPr>
        <vertAlign val="superscript"/>
        <sz val="9"/>
        <rFont val="Arial"/>
        <family val="2"/>
      </rPr>
      <t>4</t>
    </r>
  </si>
  <si>
    <t>Other wastes</t>
  </si>
  <si>
    <t>Municipal waste (Non biomass fraction)</t>
  </si>
  <si>
    <t>Industrial wastes</t>
  </si>
  <si>
    <t>NA</t>
  </si>
  <si>
    <t>Waste oils</t>
  </si>
  <si>
    <t>Biomass</t>
  </si>
  <si>
    <t>Wood or Wood waste</t>
  </si>
  <si>
    <t>Sulphite lyes (Black liquor)</t>
  </si>
  <si>
    <t>Other primary solid biomass fuels</t>
  </si>
  <si>
    <t>Charcoal</t>
  </si>
  <si>
    <t>Biogasoline</t>
  </si>
  <si>
    <t>Biodiesels</t>
  </si>
  <si>
    <t>Other liquid biofuels</t>
  </si>
  <si>
    <t>Landfill gas</t>
  </si>
  <si>
    <t>Sludge gas</t>
  </si>
  <si>
    <t>Other biogas</t>
  </si>
  <si>
    <t>Municipal wastes (Biomass fraction)</t>
  </si>
  <si>
    <t>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</si>
</sst>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(* #,##0_);_(* \(#,##0\);_(* &quot;-&quot;??_);_(@_)"/>
    <numFmt numFmtId="166" formatCode="0.000"/>
    <numFmt numFmtId="167" formatCode="0.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rial"/>
      <family val="2"/>
    </font>
    <font>
      <b/>
      <vertAlign val="subscript"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b/>
      <vertAlign val="superscript"/>
      <sz val="9"/>
      <name val="Arial"/>
      <family val="2"/>
    </font>
    <font>
      <sz val="9"/>
      <color indexed="23"/>
      <name val="Arial"/>
      <family val="2"/>
    </font>
    <font>
      <vertAlign val="superscript"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2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43" fontId="4" fillId="2" borderId="10" xfId="1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5" xfId="0" applyFont="1" applyBorder="1" applyProtection="1"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165" fontId="5" fillId="0" borderId="10" xfId="1" applyNumberFormat="1" applyFont="1" applyBorder="1" applyProtection="1">
      <protection locked="0"/>
    </xf>
    <xf numFmtId="43" fontId="5" fillId="0" borderId="10" xfId="1" applyFont="1" applyFill="1" applyBorder="1" applyAlignment="1" applyProtection="1">
      <alignment horizontal="center"/>
      <protection locked="0"/>
    </xf>
    <xf numFmtId="2" fontId="8" fillId="0" borderId="14" xfId="0" applyNumberFormat="1" applyFont="1" applyBorder="1" applyProtection="1">
      <protection locked="0"/>
    </xf>
    <xf numFmtId="0" fontId="8" fillId="0" borderId="14" xfId="0" applyFont="1" applyBorder="1" applyProtection="1">
      <protection locked="0"/>
    </xf>
    <xf numFmtId="166" fontId="5" fillId="0" borderId="10" xfId="0" applyNumberFormat="1" applyFont="1" applyBorder="1" applyProtection="1">
      <protection locked="0"/>
    </xf>
    <xf numFmtId="166" fontId="5" fillId="0" borderId="12" xfId="0" applyNumberFormat="1" applyFont="1" applyBorder="1" applyProtection="1"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65" fontId="5" fillId="0" borderId="6" xfId="1" applyNumberFormat="1" applyFont="1" applyBorder="1" applyProtection="1">
      <protection locked="0"/>
    </xf>
    <xf numFmtId="43" fontId="5" fillId="0" borderId="6" xfId="1" applyFont="1" applyFill="1" applyBorder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166" fontId="5" fillId="0" borderId="6" xfId="0" applyNumberFormat="1" applyFont="1" applyBorder="1" applyProtection="1">
      <protection locked="0"/>
    </xf>
    <xf numFmtId="166" fontId="5" fillId="0" borderId="5" xfId="0" applyNumberFormat="1" applyFont="1" applyBorder="1" applyProtection="1">
      <protection locked="0"/>
    </xf>
    <xf numFmtId="2" fontId="8" fillId="0" borderId="0" xfId="0" applyNumberFormat="1" applyFont="1" applyProtection="1">
      <protection locked="0"/>
    </xf>
    <xf numFmtId="167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Protection="1"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165" fontId="5" fillId="0" borderId="13" xfId="1" applyNumberFormat="1" applyFont="1" applyBorder="1" applyProtection="1">
      <protection locked="0"/>
    </xf>
    <xf numFmtId="43" fontId="5" fillId="0" borderId="13" xfId="1" applyFont="1" applyFill="1" applyBorder="1" applyAlignment="1" applyProtection="1">
      <alignment horizontal="center"/>
      <protection locked="0"/>
    </xf>
    <xf numFmtId="0" fontId="8" fillId="0" borderId="8" xfId="0" applyFont="1" applyBorder="1" applyProtection="1">
      <protection locked="0"/>
    </xf>
    <xf numFmtId="166" fontId="5" fillId="0" borderId="13" xfId="0" applyNumberFormat="1" applyFont="1" applyBorder="1" applyProtection="1">
      <protection locked="0"/>
    </xf>
    <xf numFmtId="166" fontId="5" fillId="0" borderId="9" xfId="0" applyNumberFormat="1" applyFont="1" applyBorder="1" applyProtection="1"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Protection="1"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165" fontId="5" fillId="0" borderId="17" xfId="1" applyNumberFormat="1" applyFont="1" applyBorder="1" applyProtection="1">
      <protection locked="0"/>
    </xf>
    <xf numFmtId="43" fontId="5" fillId="0" borderId="17" xfId="1" applyFont="1" applyFill="1" applyBorder="1" applyAlignment="1" applyProtection="1">
      <alignment horizontal="center"/>
      <protection locked="0"/>
    </xf>
    <xf numFmtId="0" fontId="8" fillId="0" borderId="18" xfId="0" applyFont="1" applyBorder="1" applyProtection="1">
      <protection locked="0"/>
    </xf>
    <xf numFmtId="166" fontId="5" fillId="0" borderId="17" xfId="0" applyNumberFormat="1" applyFont="1" applyBorder="1" applyProtection="1">
      <protection locked="0"/>
    </xf>
    <xf numFmtId="166" fontId="5" fillId="0" borderId="16" xfId="0" applyNumberFormat="1" applyFont="1" applyBorder="1" applyProtection="1">
      <protection locked="0"/>
    </xf>
    <xf numFmtId="0" fontId="5" fillId="0" borderId="12" xfId="0" applyFont="1" applyBorder="1" applyProtection="1"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43" fontId="5" fillId="0" borderId="6" xfId="1" applyFont="1" applyFill="1" applyBorder="1" applyAlignment="1" applyProtection="1">
      <alignment horizontal="righ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D95C-9754-2F4A-A653-193077AFF577}">
  <dimension ref="A1:I58"/>
  <sheetViews>
    <sheetView tabSelected="1" workbookViewId="0">
      <selection sqref="A1:I58"/>
    </sheetView>
  </sheetViews>
  <sheetFormatPr baseColWidth="10" defaultRowHeight="16" x14ac:dyDescent="0.2"/>
  <sheetData>
    <row r="1" spans="1:9" ht="19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ht="17" thickBot="1" x14ac:dyDescent="0.25">
      <c r="A2" s="4" t="s">
        <v>1</v>
      </c>
      <c r="B2" s="5"/>
      <c r="C2" s="6"/>
      <c r="D2" s="7" t="s">
        <v>2</v>
      </c>
      <c r="E2" s="8"/>
      <c r="F2" s="8"/>
      <c r="G2" s="8"/>
      <c r="H2" s="8"/>
      <c r="I2" s="9"/>
    </row>
    <row r="3" spans="1:9" ht="53" x14ac:dyDescent="0.2">
      <c r="A3" s="4"/>
      <c r="B3" s="5"/>
      <c r="C3" s="10" t="s">
        <v>3</v>
      </c>
      <c r="D3" s="11" t="s">
        <v>4</v>
      </c>
      <c r="E3" s="12" t="s">
        <v>5</v>
      </c>
      <c r="F3" s="13" t="s">
        <v>6</v>
      </c>
      <c r="G3" s="14"/>
      <c r="H3" s="11" t="s">
        <v>7</v>
      </c>
      <c r="I3" s="15" t="s">
        <v>8</v>
      </c>
    </row>
    <row r="4" spans="1:9" ht="41" thickBot="1" x14ac:dyDescent="0.25">
      <c r="A4" s="7"/>
      <c r="B4" s="9"/>
      <c r="C4" s="16" t="s">
        <v>9</v>
      </c>
      <c r="D4" s="16" t="s">
        <v>10</v>
      </c>
      <c r="E4" s="16" t="s">
        <v>11</v>
      </c>
      <c r="F4" s="17" t="s">
        <v>12</v>
      </c>
      <c r="G4" s="17" t="s">
        <v>13</v>
      </c>
      <c r="H4" s="16" t="s">
        <v>14</v>
      </c>
      <c r="I4" s="18" t="s">
        <v>15</v>
      </c>
    </row>
    <row r="5" spans="1:9" x14ac:dyDescent="0.2">
      <c r="A5" s="19" t="s">
        <v>16</v>
      </c>
      <c r="B5" s="20" t="s">
        <v>17</v>
      </c>
      <c r="C5" s="21">
        <v>42.3</v>
      </c>
      <c r="D5" s="22">
        <v>73300</v>
      </c>
      <c r="E5" s="23">
        <f>C5*D5/1000</f>
        <v>3100.59</v>
      </c>
      <c r="F5" s="24">
        <v>0.87345679012345678</v>
      </c>
      <c r="G5" s="25"/>
      <c r="H5" s="26">
        <f>IF(F5="", "", (E5/1000)*F5)</f>
        <v>2.7082313888888887</v>
      </c>
      <c r="I5" s="27" t="str">
        <f>IF(G5="", "", (G5/1000)*E5)</f>
        <v/>
      </c>
    </row>
    <row r="6" spans="1:9" x14ac:dyDescent="0.2">
      <c r="A6" s="28"/>
      <c r="B6" s="20" t="s">
        <v>18</v>
      </c>
      <c r="C6" s="21">
        <v>27.5</v>
      </c>
      <c r="D6" s="29">
        <v>77000</v>
      </c>
      <c r="E6" s="30">
        <f t="shared" ref="E6:E44" si="0">C6*D6/1000</f>
        <v>2117.5</v>
      </c>
      <c r="F6" s="31"/>
      <c r="G6" s="31"/>
      <c r="H6" s="32" t="str">
        <f t="shared" ref="H6:H58" si="1">IF(F6="", "", (E6/1000)*F6)</f>
        <v/>
      </c>
      <c r="I6" s="33" t="str">
        <f t="shared" ref="I6:I58" si="2">IF(G6="", "", (G6/1000)*E6)</f>
        <v/>
      </c>
    </row>
    <row r="7" spans="1:9" x14ac:dyDescent="0.2">
      <c r="A7" s="28"/>
      <c r="B7" s="20" t="s">
        <v>19</v>
      </c>
      <c r="C7" s="21">
        <v>44.2</v>
      </c>
      <c r="D7" s="29">
        <v>64200</v>
      </c>
      <c r="E7" s="30">
        <f t="shared" si="0"/>
        <v>2837.64</v>
      </c>
      <c r="F7" s="31"/>
      <c r="G7" s="31"/>
      <c r="H7" s="32" t="str">
        <f t="shared" si="1"/>
        <v/>
      </c>
      <c r="I7" s="33" t="str">
        <f t="shared" si="2"/>
        <v/>
      </c>
    </row>
    <row r="8" spans="1:9" x14ac:dyDescent="0.2">
      <c r="A8" s="28"/>
      <c r="B8" s="20" t="s">
        <v>20</v>
      </c>
      <c r="C8" s="21">
        <v>44.3</v>
      </c>
      <c r="D8" s="29">
        <v>69300</v>
      </c>
      <c r="E8" s="30">
        <f t="shared" si="0"/>
        <v>3069.99</v>
      </c>
      <c r="F8" s="34">
        <v>0.74534257599999998</v>
      </c>
      <c r="G8" s="31"/>
      <c r="H8" s="32">
        <f t="shared" si="1"/>
        <v>2.2881942548942398</v>
      </c>
      <c r="I8" s="33" t="str">
        <f t="shared" si="2"/>
        <v/>
      </c>
    </row>
    <row r="9" spans="1:9" x14ac:dyDescent="0.2">
      <c r="A9" s="28"/>
      <c r="B9" s="20" t="s">
        <v>21</v>
      </c>
      <c r="C9" s="21">
        <v>44.3</v>
      </c>
      <c r="D9" s="29">
        <v>70000</v>
      </c>
      <c r="E9" s="30">
        <f t="shared" si="0"/>
        <v>3101</v>
      </c>
      <c r="F9" s="34">
        <v>0.70445880999999999</v>
      </c>
      <c r="G9" s="31"/>
      <c r="H9" s="32">
        <f t="shared" si="1"/>
        <v>2.1845267698100002</v>
      </c>
      <c r="I9" s="33" t="str">
        <f t="shared" si="2"/>
        <v/>
      </c>
    </row>
    <row r="10" spans="1:9" x14ac:dyDescent="0.2">
      <c r="A10" s="28"/>
      <c r="B10" s="20" t="s">
        <v>22</v>
      </c>
      <c r="C10" s="21">
        <v>44.3</v>
      </c>
      <c r="D10" s="29">
        <v>70000</v>
      </c>
      <c r="E10" s="30">
        <f t="shared" si="0"/>
        <v>3101</v>
      </c>
      <c r="F10" s="34">
        <v>0.70445880999999999</v>
      </c>
      <c r="G10" s="31"/>
      <c r="H10" s="32">
        <f t="shared" si="1"/>
        <v>2.1845267698100002</v>
      </c>
      <c r="I10" s="33" t="str">
        <f t="shared" si="2"/>
        <v/>
      </c>
    </row>
    <row r="11" spans="1:9" x14ac:dyDescent="0.2">
      <c r="A11" s="28"/>
      <c r="B11" s="20" t="s">
        <v>23</v>
      </c>
      <c r="C11" s="21">
        <v>44.1</v>
      </c>
      <c r="D11" s="29">
        <v>71500</v>
      </c>
      <c r="E11" s="30">
        <f t="shared" si="0"/>
        <v>3153.15</v>
      </c>
      <c r="F11" s="34">
        <v>0.81556195965417866</v>
      </c>
      <c r="G11" s="31"/>
      <c r="H11" s="32">
        <f t="shared" si="1"/>
        <v>2.5715891930835735</v>
      </c>
      <c r="I11" s="33" t="str">
        <f t="shared" si="2"/>
        <v/>
      </c>
    </row>
    <row r="12" spans="1:9" x14ac:dyDescent="0.2">
      <c r="A12" s="28"/>
      <c r="B12" s="20" t="s">
        <v>24</v>
      </c>
      <c r="C12" s="21">
        <v>43.8</v>
      </c>
      <c r="D12" s="29">
        <v>71900</v>
      </c>
      <c r="E12" s="30">
        <f t="shared" si="0"/>
        <v>3149.22</v>
      </c>
      <c r="F12" s="34">
        <v>0.84832134292565942</v>
      </c>
      <c r="G12" s="31"/>
      <c r="H12" s="32">
        <f t="shared" si="1"/>
        <v>2.671550539568345</v>
      </c>
      <c r="I12" s="33" t="str">
        <f t="shared" si="2"/>
        <v/>
      </c>
    </row>
    <row r="13" spans="1:9" x14ac:dyDescent="0.2">
      <c r="A13" s="28"/>
      <c r="B13" s="20" t="s">
        <v>25</v>
      </c>
      <c r="C13" s="21">
        <v>38.1</v>
      </c>
      <c r="D13" s="29">
        <v>73300</v>
      </c>
      <c r="E13" s="30">
        <f t="shared" si="0"/>
        <v>2792.73</v>
      </c>
      <c r="F13" s="31"/>
      <c r="G13" s="31"/>
      <c r="H13" s="32" t="str">
        <f t="shared" si="1"/>
        <v/>
      </c>
      <c r="I13" s="33" t="str">
        <f t="shared" si="2"/>
        <v/>
      </c>
    </row>
    <row r="14" spans="1:9" x14ac:dyDescent="0.2">
      <c r="A14" s="28"/>
      <c r="B14" s="20" t="s">
        <v>26</v>
      </c>
      <c r="C14" s="35">
        <v>43</v>
      </c>
      <c r="D14" s="29">
        <v>74100</v>
      </c>
      <c r="E14" s="30">
        <f t="shared" si="0"/>
        <v>3186.3</v>
      </c>
      <c r="F14" s="34">
        <v>0.91328052400000004</v>
      </c>
      <c r="G14" s="31"/>
      <c r="H14" s="32">
        <f t="shared" si="1"/>
        <v>2.9099857336212001</v>
      </c>
      <c r="I14" s="33" t="str">
        <f t="shared" si="2"/>
        <v/>
      </c>
    </row>
    <row r="15" spans="1:9" x14ac:dyDescent="0.2">
      <c r="A15" s="28"/>
      <c r="B15" s="20" t="s">
        <v>27</v>
      </c>
      <c r="C15" s="21">
        <v>40.4</v>
      </c>
      <c r="D15" s="29">
        <v>77400</v>
      </c>
      <c r="E15" s="30">
        <f t="shared" si="0"/>
        <v>3126.96</v>
      </c>
      <c r="F15" s="34">
        <v>0.96108308600000003</v>
      </c>
      <c r="G15" s="31"/>
      <c r="H15" s="32">
        <f t="shared" si="1"/>
        <v>3.00526836659856</v>
      </c>
      <c r="I15" s="33" t="str">
        <f t="shared" si="2"/>
        <v/>
      </c>
    </row>
    <row r="16" spans="1:9" x14ac:dyDescent="0.2">
      <c r="A16" s="28"/>
      <c r="B16" s="20" t="s">
        <v>28</v>
      </c>
      <c r="C16" s="21">
        <v>47.3</v>
      </c>
      <c r="D16" s="29">
        <v>63100</v>
      </c>
      <c r="E16" s="30">
        <f t="shared" si="0"/>
        <v>2984.63</v>
      </c>
      <c r="F16" s="34">
        <v>0.49354726194628523</v>
      </c>
      <c r="G16" s="31"/>
      <c r="H16" s="32">
        <f t="shared" si="1"/>
        <v>1.4730559644227414</v>
      </c>
      <c r="I16" s="33" t="str">
        <f t="shared" si="2"/>
        <v/>
      </c>
    </row>
    <row r="17" spans="1:9" x14ac:dyDescent="0.2">
      <c r="A17" s="28"/>
      <c r="B17" s="20" t="s">
        <v>29</v>
      </c>
      <c r="C17" s="21">
        <v>46.4</v>
      </c>
      <c r="D17" s="29">
        <v>61600</v>
      </c>
      <c r="E17" s="30">
        <f t="shared" si="0"/>
        <v>2858.24</v>
      </c>
      <c r="F17" s="34"/>
      <c r="G17" s="31"/>
      <c r="H17" s="32" t="str">
        <f t="shared" si="1"/>
        <v/>
      </c>
      <c r="I17" s="33" t="str">
        <f t="shared" si="2"/>
        <v/>
      </c>
    </row>
    <row r="18" spans="1:9" x14ac:dyDescent="0.2">
      <c r="A18" s="28"/>
      <c r="B18" s="20" t="s">
        <v>30</v>
      </c>
      <c r="C18" s="21">
        <v>44.5</v>
      </c>
      <c r="D18" s="29">
        <v>73300</v>
      </c>
      <c r="E18" s="30">
        <f t="shared" si="0"/>
        <v>3261.85</v>
      </c>
      <c r="F18" s="34">
        <v>0.72836008699999999</v>
      </c>
      <c r="G18" s="31"/>
      <c r="H18" s="32">
        <f t="shared" si="1"/>
        <v>2.37580134978095</v>
      </c>
      <c r="I18" s="33" t="str">
        <f t="shared" si="2"/>
        <v/>
      </c>
    </row>
    <row r="19" spans="1:9" x14ac:dyDescent="0.2">
      <c r="A19" s="28"/>
      <c r="B19" s="20" t="s">
        <v>31</v>
      </c>
      <c r="C19" s="21">
        <v>40.200000000000003</v>
      </c>
      <c r="D19" s="29">
        <v>80700</v>
      </c>
      <c r="E19" s="30">
        <f t="shared" si="0"/>
        <v>3244.14</v>
      </c>
      <c r="F19" s="34"/>
      <c r="G19" s="31"/>
      <c r="H19" s="32" t="str">
        <f t="shared" si="1"/>
        <v/>
      </c>
      <c r="I19" s="33" t="str">
        <f t="shared" si="2"/>
        <v/>
      </c>
    </row>
    <row r="20" spans="1:9" x14ac:dyDescent="0.2">
      <c r="A20" s="28"/>
      <c r="B20" s="20" t="s">
        <v>32</v>
      </c>
      <c r="C20" s="21">
        <v>40.200000000000003</v>
      </c>
      <c r="D20" s="29">
        <v>73300</v>
      </c>
      <c r="E20" s="30">
        <f t="shared" si="0"/>
        <v>2946.66</v>
      </c>
      <c r="F20" s="34">
        <v>0.89818497799999997</v>
      </c>
      <c r="G20" s="31"/>
      <c r="H20" s="32">
        <f t="shared" si="1"/>
        <v>2.6466457472734799</v>
      </c>
      <c r="I20" s="33" t="str">
        <f t="shared" si="2"/>
        <v/>
      </c>
    </row>
    <row r="21" spans="1:9" x14ac:dyDescent="0.2">
      <c r="A21" s="28"/>
      <c r="B21" s="20" t="s">
        <v>33</v>
      </c>
      <c r="C21" s="21">
        <v>32.5</v>
      </c>
      <c r="D21" s="29">
        <v>97500</v>
      </c>
      <c r="E21" s="30">
        <f t="shared" si="0"/>
        <v>3168.75</v>
      </c>
      <c r="F21" s="34"/>
      <c r="G21" s="31"/>
      <c r="H21" s="32" t="str">
        <f t="shared" si="1"/>
        <v/>
      </c>
      <c r="I21" s="33" t="str">
        <f t="shared" si="2"/>
        <v/>
      </c>
    </row>
    <row r="22" spans="1:9" x14ac:dyDescent="0.2">
      <c r="A22" s="28"/>
      <c r="B22" s="20" t="s">
        <v>34</v>
      </c>
      <c r="C22" s="35">
        <v>43</v>
      </c>
      <c r="D22" s="29">
        <v>73300</v>
      </c>
      <c r="E22" s="30">
        <f t="shared" si="0"/>
        <v>3151.9</v>
      </c>
      <c r="F22" s="34"/>
      <c r="G22" s="31"/>
      <c r="H22" s="32" t="str">
        <f t="shared" si="1"/>
        <v/>
      </c>
      <c r="I22" s="33" t="str">
        <f t="shared" si="2"/>
        <v/>
      </c>
    </row>
    <row r="23" spans="1:9" x14ac:dyDescent="0.2">
      <c r="A23" s="28"/>
      <c r="B23" s="20" t="s">
        <v>35</v>
      </c>
      <c r="C23" s="21">
        <v>49.5</v>
      </c>
      <c r="D23" s="29">
        <v>57600</v>
      </c>
      <c r="E23" s="30">
        <f t="shared" si="0"/>
        <v>2851.2</v>
      </c>
      <c r="F23" s="31"/>
      <c r="G23" s="31"/>
      <c r="H23" s="32" t="str">
        <f t="shared" si="1"/>
        <v/>
      </c>
      <c r="I23" s="33" t="str">
        <f t="shared" si="2"/>
        <v/>
      </c>
    </row>
    <row r="24" spans="1:9" x14ac:dyDescent="0.2">
      <c r="A24" s="28"/>
      <c r="B24" s="20" t="s">
        <v>36</v>
      </c>
      <c r="C24" s="21">
        <v>40.200000000000003</v>
      </c>
      <c r="D24" s="29">
        <v>73300</v>
      </c>
      <c r="E24" s="30">
        <f t="shared" si="0"/>
        <v>2946.66</v>
      </c>
      <c r="F24" s="31"/>
      <c r="G24" s="31"/>
      <c r="H24" s="32" t="str">
        <f t="shared" si="1"/>
        <v/>
      </c>
      <c r="I24" s="33" t="str">
        <f t="shared" si="2"/>
        <v/>
      </c>
    </row>
    <row r="25" spans="1:9" x14ac:dyDescent="0.2">
      <c r="A25" s="28"/>
      <c r="B25" s="20" t="s">
        <v>37</v>
      </c>
      <c r="C25" s="21">
        <v>40.200000000000003</v>
      </c>
      <c r="D25" s="29">
        <v>73300</v>
      </c>
      <c r="E25" s="30">
        <f t="shared" si="0"/>
        <v>2946.66</v>
      </c>
      <c r="F25" s="31"/>
      <c r="G25" s="31"/>
      <c r="H25" s="32" t="str">
        <f t="shared" si="1"/>
        <v/>
      </c>
      <c r="I25" s="33" t="str">
        <f t="shared" si="2"/>
        <v/>
      </c>
    </row>
    <row r="26" spans="1:9" ht="17" thickBot="1" x14ac:dyDescent="0.25">
      <c r="A26" s="36"/>
      <c r="B26" s="37" t="s">
        <v>38</v>
      </c>
      <c r="C26" s="38">
        <v>40.200000000000003</v>
      </c>
      <c r="D26" s="39">
        <v>73300</v>
      </c>
      <c r="E26" s="40">
        <f t="shared" si="0"/>
        <v>2946.66</v>
      </c>
      <c r="F26" s="41"/>
      <c r="G26" s="41"/>
      <c r="H26" s="42" t="str">
        <f t="shared" si="1"/>
        <v/>
      </c>
      <c r="I26" s="43" t="str">
        <f t="shared" si="2"/>
        <v/>
      </c>
    </row>
    <row r="27" spans="1:9" x14ac:dyDescent="0.2">
      <c r="A27" s="19" t="s">
        <v>39</v>
      </c>
      <c r="B27" s="20" t="s">
        <v>40</v>
      </c>
      <c r="C27" s="21">
        <v>26.7</v>
      </c>
      <c r="D27" s="29">
        <v>98300</v>
      </c>
      <c r="E27" s="30">
        <f t="shared" si="0"/>
        <v>2624.61</v>
      </c>
      <c r="F27" s="31"/>
      <c r="G27" s="31"/>
      <c r="H27" s="32" t="str">
        <f t="shared" si="1"/>
        <v/>
      </c>
      <c r="I27" s="33" t="str">
        <f t="shared" si="2"/>
        <v/>
      </c>
    </row>
    <row r="28" spans="1:9" x14ac:dyDescent="0.2">
      <c r="A28" s="28"/>
      <c r="B28" s="20" t="s">
        <v>41</v>
      </c>
      <c r="C28" s="21">
        <v>28.2</v>
      </c>
      <c r="D28" s="29">
        <v>94600</v>
      </c>
      <c r="E28" s="30">
        <f t="shared" si="0"/>
        <v>2667.72</v>
      </c>
      <c r="F28" s="31"/>
      <c r="G28" s="31"/>
      <c r="H28" s="32" t="str">
        <f t="shared" si="1"/>
        <v/>
      </c>
      <c r="I28" s="33" t="str">
        <f t="shared" si="2"/>
        <v/>
      </c>
    </row>
    <row r="29" spans="1:9" x14ac:dyDescent="0.2">
      <c r="A29" s="28"/>
      <c r="B29" s="20" t="s">
        <v>42</v>
      </c>
      <c r="C29" s="21">
        <v>25.8</v>
      </c>
      <c r="D29" s="29">
        <v>94600</v>
      </c>
      <c r="E29" s="30">
        <f t="shared" si="0"/>
        <v>2440.6799999999998</v>
      </c>
      <c r="F29" s="31"/>
      <c r="G29" s="31"/>
      <c r="H29" s="32" t="str">
        <f t="shared" si="1"/>
        <v/>
      </c>
      <c r="I29" s="33" t="str">
        <f t="shared" si="2"/>
        <v/>
      </c>
    </row>
    <row r="30" spans="1:9" x14ac:dyDescent="0.2">
      <c r="A30" s="28"/>
      <c r="B30" s="20" t="s">
        <v>43</v>
      </c>
      <c r="C30" s="21">
        <v>18.899999999999999</v>
      </c>
      <c r="D30" s="29">
        <v>96100</v>
      </c>
      <c r="E30" s="30">
        <f t="shared" si="0"/>
        <v>1816.2899999999997</v>
      </c>
      <c r="F30" s="31"/>
      <c r="G30" s="31"/>
      <c r="H30" s="32" t="str">
        <f t="shared" si="1"/>
        <v/>
      </c>
      <c r="I30" s="33" t="str">
        <f t="shared" si="2"/>
        <v/>
      </c>
    </row>
    <row r="31" spans="1:9" x14ac:dyDescent="0.2">
      <c r="A31" s="28"/>
      <c r="B31" s="20" t="s">
        <v>44</v>
      </c>
      <c r="C31" s="21">
        <v>11.9</v>
      </c>
      <c r="D31" s="29">
        <v>101000</v>
      </c>
      <c r="E31" s="30">
        <f t="shared" si="0"/>
        <v>1201.9000000000001</v>
      </c>
      <c r="F31" s="31"/>
      <c r="G31" s="31"/>
      <c r="H31" s="32" t="str">
        <f t="shared" si="1"/>
        <v/>
      </c>
      <c r="I31" s="33" t="str">
        <f t="shared" si="2"/>
        <v/>
      </c>
    </row>
    <row r="32" spans="1:9" x14ac:dyDescent="0.2">
      <c r="A32" s="28"/>
      <c r="B32" s="20" t="s">
        <v>45</v>
      </c>
      <c r="C32" s="21">
        <v>8.9</v>
      </c>
      <c r="D32" s="29">
        <v>107000</v>
      </c>
      <c r="E32" s="30">
        <f t="shared" si="0"/>
        <v>952.3</v>
      </c>
      <c r="F32" s="31"/>
      <c r="G32" s="31"/>
      <c r="H32" s="32" t="str">
        <f t="shared" si="1"/>
        <v/>
      </c>
      <c r="I32" s="33" t="str">
        <f t="shared" si="2"/>
        <v/>
      </c>
    </row>
    <row r="33" spans="1:9" x14ac:dyDescent="0.2">
      <c r="A33" s="28"/>
      <c r="B33" s="20" t="s">
        <v>46</v>
      </c>
      <c r="C33" s="21">
        <v>20.7</v>
      </c>
      <c r="D33" s="29">
        <v>97500</v>
      </c>
      <c r="E33" s="30">
        <f t="shared" si="0"/>
        <v>2018.25</v>
      </c>
      <c r="F33" s="31"/>
      <c r="G33" s="31"/>
      <c r="H33" s="32" t="str">
        <f t="shared" si="1"/>
        <v/>
      </c>
      <c r="I33" s="33" t="str">
        <f t="shared" si="2"/>
        <v/>
      </c>
    </row>
    <row r="34" spans="1:9" x14ac:dyDescent="0.2">
      <c r="A34" s="28"/>
      <c r="B34" s="20" t="s">
        <v>47</v>
      </c>
      <c r="C34" s="21">
        <v>20.7</v>
      </c>
      <c r="D34" s="29">
        <v>97500</v>
      </c>
      <c r="E34" s="30">
        <f t="shared" si="0"/>
        <v>2018.25</v>
      </c>
      <c r="F34" s="31"/>
      <c r="G34" s="31"/>
      <c r="H34" s="32" t="str">
        <f t="shared" si="1"/>
        <v/>
      </c>
      <c r="I34" s="33" t="str">
        <f t="shared" si="2"/>
        <v/>
      </c>
    </row>
    <row r="35" spans="1:9" x14ac:dyDescent="0.2">
      <c r="A35" s="28"/>
      <c r="B35" s="20" t="s">
        <v>48</v>
      </c>
      <c r="C35" s="21">
        <v>28.2</v>
      </c>
      <c r="D35" s="29">
        <v>107000</v>
      </c>
      <c r="E35" s="30">
        <f t="shared" si="0"/>
        <v>3017.4</v>
      </c>
      <c r="F35" s="31"/>
      <c r="G35" s="31"/>
      <c r="H35" s="32" t="str">
        <f t="shared" si="1"/>
        <v/>
      </c>
      <c r="I35" s="33" t="str">
        <f t="shared" si="2"/>
        <v/>
      </c>
    </row>
    <row r="36" spans="1:9" x14ac:dyDescent="0.2">
      <c r="A36" s="28"/>
      <c r="B36" s="20" t="s">
        <v>49</v>
      </c>
      <c r="C36" s="21">
        <v>28.2</v>
      </c>
      <c r="D36" s="29">
        <v>107000</v>
      </c>
      <c r="E36" s="30">
        <f t="shared" si="0"/>
        <v>3017.4</v>
      </c>
      <c r="F36" s="31"/>
      <c r="G36" s="31"/>
      <c r="H36" s="32" t="str">
        <f t="shared" si="1"/>
        <v/>
      </c>
      <c r="I36" s="33" t="str">
        <f t="shared" si="2"/>
        <v/>
      </c>
    </row>
    <row r="37" spans="1:9" x14ac:dyDescent="0.2">
      <c r="A37" s="28"/>
      <c r="B37" s="20" t="s">
        <v>50</v>
      </c>
      <c r="C37" s="21">
        <v>28.2</v>
      </c>
      <c r="D37" s="29">
        <v>107000</v>
      </c>
      <c r="E37" s="30">
        <f t="shared" si="0"/>
        <v>3017.4</v>
      </c>
      <c r="F37" s="31"/>
      <c r="G37" s="31"/>
      <c r="H37" s="32" t="str">
        <f t="shared" si="1"/>
        <v/>
      </c>
      <c r="I37" s="33" t="str">
        <f t="shared" si="2"/>
        <v/>
      </c>
    </row>
    <row r="38" spans="1:9" x14ac:dyDescent="0.2">
      <c r="A38" s="28"/>
      <c r="B38" s="20" t="s">
        <v>51</v>
      </c>
      <c r="C38" s="21">
        <v>28</v>
      </c>
      <c r="D38" s="29">
        <v>80700</v>
      </c>
      <c r="E38" s="30">
        <f t="shared" si="0"/>
        <v>2259.6</v>
      </c>
      <c r="F38" s="31"/>
      <c r="G38" s="31"/>
      <c r="H38" s="32" t="str">
        <f t="shared" si="1"/>
        <v/>
      </c>
      <c r="I38" s="33" t="str">
        <f t="shared" si="2"/>
        <v/>
      </c>
    </row>
    <row r="39" spans="1:9" x14ac:dyDescent="0.2">
      <c r="A39" s="28"/>
      <c r="B39" s="20" t="s">
        <v>52</v>
      </c>
      <c r="C39" s="21">
        <v>38.700000000000003</v>
      </c>
      <c r="D39" s="29">
        <v>44400</v>
      </c>
      <c r="E39" s="30">
        <f t="shared" si="0"/>
        <v>1718.2800000000002</v>
      </c>
      <c r="F39" s="31"/>
      <c r="G39" s="31"/>
      <c r="H39" s="32" t="str">
        <f t="shared" si="1"/>
        <v/>
      </c>
      <c r="I39" s="33" t="str">
        <f t="shared" si="2"/>
        <v/>
      </c>
    </row>
    <row r="40" spans="1:9" x14ac:dyDescent="0.2">
      <c r="A40" s="28"/>
      <c r="B40" s="20" t="s">
        <v>53</v>
      </c>
      <c r="C40" s="21">
        <v>38.700000000000003</v>
      </c>
      <c r="D40" s="29">
        <v>44400</v>
      </c>
      <c r="E40" s="30">
        <f t="shared" si="0"/>
        <v>1718.2800000000002</v>
      </c>
      <c r="F40" s="31"/>
      <c r="G40" s="31"/>
      <c r="H40" s="32" t="str">
        <f t="shared" si="1"/>
        <v/>
      </c>
      <c r="I40" s="33" t="str">
        <f t="shared" si="2"/>
        <v/>
      </c>
    </row>
    <row r="41" spans="1:9" x14ac:dyDescent="0.2">
      <c r="A41" s="28"/>
      <c r="B41" s="20" t="s">
        <v>54</v>
      </c>
      <c r="C41" s="21">
        <v>2.4700000000000002</v>
      </c>
      <c r="D41" s="29">
        <v>260000</v>
      </c>
      <c r="E41" s="30">
        <f t="shared" si="0"/>
        <v>642.20000000000005</v>
      </c>
      <c r="F41" s="31"/>
      <c r="G41" s="31"/>
      <c r="H41" s="32" t="str">
        <f t="shared" si="1"/>
        <v/>
      </c>
      <c r="I41" s="33" t="str">
        <f t="shared" si="2"/>
        <v/>
      </c>
    </row>
    <row r="42" spans="1:9" ht="17" thickBot="1" x14ac:dyDescent="0.25">
      <c r="A42" s="36"/>
      <c r="B42" s="20" t="s">
        <v>55</v>
      </c>
      <c r="C42" s="21">
        <v>7.06</v>
      </c>
      <c r="D42" s="29">
        <v>182000</v>
      </c>
      <c r="E42" s="30">
        <f t="shared" si="0"/>
        <v>1284.92</v>
      </c>
      <c r="F42" s="31"/>
      <c r="G42" s="31"/>
      <c r="H42" s="32" t="str">
        <f t="shared" si="1"/>
        <v/>
      </c>
      <c r="I42" s="33" t="str">
        <f t="shared" si="2"/>
        <v/>
      </c>
    </row>
    <row r="43" spans="1:9" ht="17" thickBot="1" x14ac:dyDescent="0.25">
      <c r="A43" s="44" t="s">
        <v>56</v>
      </c>
      <c r="B43" s="45" t="s">
        <v>57</v>
      </c>
      <c r="C43" s="46">
        <v>48</v>
      </c>
      <c r="D43" s="47">
        <v>56100</v>
      </c>
      <c r="E43" s="48">
        <f t="shared" si="0"/>
        <v>2692.8</v>
      </c>
      <c r="F43" s="49"/>
      <c r="G43" s="49">
        <v>0.7</v>
      </c>
      <c r="H43" s="50" t="str">
        <f t="shared" si="1"/>
        <v/>
      </c>
      <c r="I43" s="51">
        <f t="shared" si="2"/>
        <v>1.8849600000000002</v>
      </c>
    </row>
    <row r="44" spans="1:9" x14ac:dyDescent="0.2">
      <c r="A44" s="19" t="s">
        <v>58</v>
      </c>
      <c r="B44" s="52" t="s">
        <v>59</v>
      </c>
      <c r="C44" s="53">
        <v>10</v>
      </c>
      <c r="D44" s="22">
        <v>91700</v>
      </c>
      <c r="E44" s="23">
        <f t="shared" si="0"/>
        <v>917</v>
      </c>
      <c r="F44" s="25"/>
      <c r="G44" s="25"/>
      <c r="H44" s="26" t="str">
        <f t="shared" si="1"/>
        <v/>
      </c>
      <c r="I44" s="27" t="str">
        <f t="shared" si="2"/>
        <v/>
      </c>
    </row>
    <row r="45" spans="1:9" x14ac:dyDescent="0.2">
      <c r="A45" s="28"/>
      <c r="B45" s="20" t="s">
        <v>60</v>
      </c>
      <c r="C45" s="21" t="s">
        <v>61</v>
      </c>
      <c r="D45" s="29">
        <v>143000</v>
      </c>
      <c r="E45" s="54" t="s">
        <v>61</v>
      </c>
      <c r="F45" s="31"/>
      <c r="G45" s="31"/>
      <c r="H45" s="32" t="str">
        <f t="shared" si="1"/>
        <v/>
      </c>
      <c r="I45" s="33" t="str">
        <f t="shared" si="2"/>
        <v/>
      </c>
    </row>
    <row r="46" spans="1:9" ht="17" thickBot="1" x14ac:dyDescent="0.25">
      <c r="A46" s="36"/>
      <c r="B46" s="37" t="s">
        <v>62</v>
      </c>
      <c r="C46" s="38">
        <v>40.200000000000003</v>
      </c>
      <c r="D46" s="39">
        <v>73300</v>
      </c>
      <c r="E46" s="40">
        <f t="shared" ref="E46:E58" si="3">C46*D46/1000</f>
        <v>2946.66</v>
      </c>
      <c r="F46" s="41"/>
      <c r="G46" s="41"/>
      <c r="H46" s="42" t="str">
        <f t="shared" si="1"/>
        <v/>
      </c>
      <c r="I46" s="43" t="str">
        <f t="shared" si="2"/>
        <v/>
      </c>
    </row>
    <row r="47" spans="1:9" x14ac:dyDescent="0.2">
      <c r="A47" s="19" t="s">
        <v>63</v>
      </c>
      <c r="B47" s="20" t="s">
        <v>64</v>
      </c>
      <c r="C47" s="21">
        <v>15.6</v>
      </c>
      <c r="D47" s="29">
        <v>112000</v>
      </c>
      <c r="E47" s="30">
        <f t="shared" si="3"/>
        <v>1747.2</v>
      </c>
      <c r="F47" s="31"/>
      <c r="G47" s="31"/>
      <c r="H47" s="32" t="str">
        <f t="shared" si="1"/>
        <v/>
      </c>
      <c r="I47" s="33" t="str">
        <f t="shared" si="2"/>
        <v/>
      </c>
    </row>
    <row r="48" spans="1:9" x14ac:dyDescent="0.2">
      <c r="A48" s="28"/>
      <c r="B48" s="20" t="s">
        <v>65</v>
      </c>
      <c r="C48" s="21">
        <v>11.8</v>
      </c>
      <c r="D48" s="29">
        <v>95300</v>
      </c>
      <c r="E48" s="30">
        <f t="shared" si="3"/>
        <v>1124.54</v>
      </c>
      <c r="F48" s="31"/>
      <c r="G48" s="31"/>
      <c r="H48" s="32" t="str">
        <f t="shared" si="1"/>
        <v/>
      </c>
      <c r="I48" s="33" t="str">
        <f t="shared" si="2"/>
        <v/>
      </c>
    </row>
    <row r="49" spans="1:9" x14ac:dyDescent="0.2">
      <c r="A49" s="28"/>
      <c r="B49" s="20" t="s">
        <v>66</v>
      </c>
      <c r="C49" s="21">
        <v>11.6</v>
      </c>
      <c r="D49" s="29">
        <v>100000</v>
      </c>
      <c r="E49" s="30">
        <f t="shared" si="3"/>
        <v>1160</v>
      </c>
      <c r="F49" s="31"/>
      <c r="G49" s="31"/>
      <c r="H49" s="32" t="str">
        <f t="shared" si="1"/>
        <v/>
      </c>
      <c r="I49" s="33" t="str">
        <f t="shared" si="2"/>
        <v/>
      </c>
    </row>
    <row r="50" spans="1:9" x14ac:dyDescent="0.2">
      <c r="A50" s="28"/>
      <c r="B50" s="20" t="s">
        <v>67</v>
      </c>
      <c r="C50" s="21">
        <v>29.5</v>
      </c>
      <c r="D50" s="29">
        <v>112000</v>
      </c>
      <c r="E50" s="30">
        <f t="shared" si="3"/>
        <v>3304</v>
      </c>
      <c r="F50" s="31"/>
      <c r="G50" s="31"/>
      <c r="H50" s="32" t="str">
        <f t="shared" si="1"/>
        <v/>
      </c>
      <c r="I50" s="33" t="str">
        <f t="shared" si="2"/>
        <v/>
      </c>
    </row>
    <row r="51" spans="1:9" x14ac:dyDescent="0.2">
      <c r="A51" s="28"/>
      <c r="B51" s="20" t="s">
        <v>68</v>
      </c>
      <c r="C51" s="21">
        <v>27</v>
      </c>
      <c r="D51" s="29">
        <v>70800</v>
      </c>
      <c r="E51" s="30">
        <f t="shared" si="3"/>
        <v>1911.6</v>
      </c>
      <c r="F51" s="31"/>
      <c r="G51" s="31"/>
      <c r="H51" s="32" t="str">
        <f t="shared" si="1"/>
        <v/>
      </c>
      <c r="I51" s="33" t="str">
        <f t="shared" si="2"/>
        <v/>
      </c>
    </row>
    <row r="52" spans="1:9" x14ac:dyDescent="0.2">
      <c r="A52" s="28"/>
      <c r="B52" s="20" t="s">
        <v>69</v>
      </c>
      <c r="C52" s="21">
        <v>27</v>
      </c>
      <c r="D52" s="29">
        <v>70800</v>
      </c>
      <c r="E52" s="30">
        <f t="shared" si="3"/>
        <v>1911.6</v>
      </c>
      <c r="F52" s="31"/>
      <c r="G52" s="31"/>
      <c r="H52" s="32" t="str">
        <f t="shared" si="1"/>
        <v/>
      </c>
      <c r="I52" s="33" t="str">
        <f t="shared" si="2"/>
        <v/>
      </c>
    </row>
    <row r="53" spans="1:9" x14ac:dyDescent="0.2">
      <c r="A53" s="28"/>
      <c r="B53" s="20" t="s">
        <v>70</v>
      </c>
      <c r="C53" s="21">
        <v>27.4</v>
      </c>
      <c r="D53" s="29">
        <v>79600</v>
      </c>
      <c r="E53" s="30">
        <f t="shared" si="3"/>
        <v>2181.04</v>
      </c>
      <c r="F53" s="31"/>
      <c r="G53" s="31"/>
      <c r="H53" s="32" t="str">
        <f t="shared" si="1"/>
        <v/>
      </c>
      <c r="I53" s="33" t="str">
        <f t="shared" si="2"/>
        <v/>
      </c>
    </row>
    <row r="54" spans="1:9" x14ac:dyDescent="0.2">
      <c r="A54" s="28"/>
      <c r="B54" s="20" t="s">
        <v>71</v>
      </c>
      <c r="C54" s="21">
        <v>50.4</v>
      </c>
      <c r="D54" s="29">
        <v>54600</v>
      </c>
      <c r="E54" s="30">
        <f t="shared" si="3"/>
        <v>2751.84</v>
      </c>
      <c r="F54" s="31"/>
      <c r="G54" s="31"/>
      <c r="H54" s="32" t="str">
        <f t="shared" si="1"/>
        <v/>
      </c>
      <c r="I54" s="33" t="str">
        <f t="shared" si="2"/>
        <v/>
      </c>
    </row>
    <row r="55" spans="1:9" x14ac:dyDescent="0.2">
      <c r="A55" s="28"/>
      <c r="B55" s="20" t="s">
        <v>72</v>
      </c>
      <c r="C55" s="21">
        <v>50.4</v>
      </c>
      <c r="D55" s="29">
        <v>54600</v>
      </c>
      <c r="E55" s="30">
        <f t="shared" si="3"/>
        <v>2751.84</v>
      </c>
      <c r="F55" s="31"/>
      <c r="G55" s="31"/>
      <c r="H55" s="32" t="str">
        <f t="shared" si="1"/>
        <v/>
      </c>
      <c r="I55" s="33" t="str">
        <f t="shared" si="2"/>
        <v/>
      </c>
    </row>
    <row r="56" spans="1:9" x14ac:dyDescent="0.2">
      <c r="A56" s="28"/>
      <c r="B56" s="20" t="s">
        <v>73</v>
      </c>
      <c r="C56" s="21">
        <v>50.4</v>
      </c>
      <c r="D56" s="29">
        <v>54600</v>
      </c>
      <c r="E56" s="30">
        <f t="shared" si="3"/>
        <v>2751.84</v>
      </c>
      <c r="F56" s="31"/>
      <c r="G56" s="31"/>
      <c r="H56" s="32" t="str">
        <f t="shared" si="1"/>
        <v/>
      </c>
      <c r="I56" s="33" t="str">
        <f t="shared" si="2"/>
        <v/>
      </c>
    </row>
    <row r="57" spans="1:9" x14ac:dyDescent="0.2">
      <c r="A57" s="28"/>
      <c r="B57" s="20" t="s">
        <v>74</v>
      </c>
      <c r="C57" s="21">
        <v>11.6</v>
      </c>
      <c r="D57" s="29">
        <v>100000</v>
      </c>
      <c r="E57" s="30">
        <f t="shared" si="3"/>
        <v>1160</v>
      </c>
      <c r="F57" s="31"/>
      <c r="G57" s="31"/>
      <c r="H57" s="32" t="str">
        <f t="shared" si="1"/>
        <v/>
      </c>
      <c r="I57" s="33" t="str">
        <f t="shared" si="2"/>
        <v/>
      </c>
    </row>
    <row r="58" spans="1:9" ht="17" thickBot="1" x14ac:dyDescent="0.25">
      <c r="A58" s="36"/>
      <c r="B58" s="37" t="s">
        <v>75</v>
      </c>
      <c r="C58" s="38">
        <v>9.76</v>
      </c>
      <c r="D58" s="39">
        <v>106000</v>
      </c>
      <c r="E58" s="40">
        <f t="shared" si="3"/>
        <v>1034.56</v>
      </c>
      <c r="F58" s="41"/>
      <c r="G58" s="41"/>
      <c r="H58" s="42" t="str">
        <f t="shared" si="1"/>
        <v/>
      </c>
      <c r="I58" s="43" t="str">
        <f t="shared" si="2"/>
        <v/>
      </c>
    </row>
  </sheetData>
  <mergeCells count="8">
    <mergeCell ref="A44:A46"/>
    <mergeCell ref="A47:A58"/>
    <mergeCell ref="A1:I1"/>
    <mergeCell ref="A2:B4"/>
    <mergeCell ref="D2:I2"/>
    <mergeCell ref="F3:G3"/>
    <mergeCell ref="A5:A26"/>
    <mergeCell ref="A27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Younes</dc:creator>
  <cp:lastModifiedBy>Sam Younes</cp:lastModifiedBy>
  <dcterms:created xsi:type="dcterms:W3CDTF">2025-12-04T13:58:13Z</dcterms:created>
  <dcterms:modified xsi:type="dcterms:W3CDTF">2025-12-04T13:58:28Z</dcterms:modified>
</cp:coreProperties>
</file>